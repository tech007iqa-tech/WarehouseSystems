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ancelled NRU Metals" sheetId="1" state="hidden" r:id="rId3"/>
    <sheet name="Template" sheetId="2" state="visible" r:id="rId4"/>
    <sheet name="DELETE Copy of King" sheetId="3" state="hidden" r:id="rId5"/>
    <sheet name="Vincent 310" sheetId="4" state="hidden" r:id="rId6"/>
    <sheet name="DELETE OnHoldKing3" sheetId="5" state="hidden" r:id="rId7"/>
    <sheet name="DELETE King GTR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<sst xmlns="http://schemas.openxmlformats.org/spreadsheetml/2006/main" count="311" uniqueCount="77">
  <si>
    <t xml:space="preserve">IQA Metal B2B Purchase Form</t>
  </si>
  <si>
    <t xml:space="preserve">Name</t>
  </si>
  <si>
    <t xml:space="preserve">NRU Metals</t>
  </si>
  <si>
    <t xml:space="preserve">Date</t>
  </si>
  <si>
    <t xml:space="preserve">Order #</t>
  </si>
  <si>
    <t xml:space="preserve">Type</t>
  </si>
  <si>
    <t xml:space="preserve">Brand</t>
  </si>
  <si>
    <t xml:space="preserve">Model</t>
  </si>
  <si>
    <t xml:space="preserve">Series</t>
  </si>
  <si>
    <t xml:space="preserve">CPU / Gen</t>
  </si>
  <si>
    <t xml:space="preserve">Description</t>
  </si>
  <si>
    <t xml:space="preserve">Price</t>
  </si>
  <si>
    <t xml:space="preserve">QTY</t>
  </si>
  <si>
    <t xml:space="preserve">Total</t>
  </si>
  <si>
    <t xml:space="preserve">Sumary</t>
  </si>
  <si>
    <t xml:space="preserve">Note</t>
  </si>
  <si>
    <t xml:space="preserve">Laptop</t>
  </si>
  <si>
    <t xml:space="preserve">HP</t>
  </si>
  <si>
    <t xml:space="preserve">ChromeBook</t>
  </si>
  <si>
    <t xml:space="preserve">11 G6 EE</t>
  </si>
  <si>
    <t xml:space="preserve">-</t>
  </si>
  <si>
    <t xml:space="preserve">Untested</t>
  </si>
  <si>
    <t xml:space="preserve">Dell</t>
  </si>
  <si>
    <t xml:space="preserve">Latitude</t>
  </si>
  <si>
    <t xml:space="preserve">7th</t>
  </si>
  <si>
    <t xml:space="preserve">Sample Purchase Form</t>
  </si>
  <si>
    <t xml:space="preserve">Summary</t>
  </si>
  <si>
    <t xml:space="preserve">King Ndorangar</t>
  </si>
  <si>
    <t xml:space="preserve">Lenovo </t>
  </si>
  <si>
    <t xml:space="preserve">Carbon X1</t>
  </si>
  <si>
    <t xml:space="preserve">4th Gen</t>
  </si>
  <si>
    <t xml:space="preserve">Elitebook 840 G3</t>
  </si>
  <si>
    <t xml:space="preserve">6th</t>
  </si>
  <si>
    <t xml:space="preserve">EliteBook 840 G4</t>
  </si>
  <si>
    <t xml:space="preserve">EliteBook 840 G5</t>
  </si>
  <si>
    <t xml:space="preserve">Elitebook 830 G5</t>
  </si>
  <si>
    <t xml:space="preserve">i5-8th</t>
  </si>
  <si>
    <t xml:space="preserve">ProBook 650 G5</t>
  </si>
  <si>
    <t xml:space="preserve">ProBook 450 G6</t>
  </si>
  <si>
    <t xml:space="preserve">EliteBook 850 G5</t>
  </si>
  <si>
    <t xml:space="preserve">i7-8th</t>
  </si>
  <si>
    <t xml:space="preserve">ProBook 650 G4</t>
  </si>
  <si>
    <t xml:space="preserve">EliteBook 745-G6</t>
  </si>
  <si>
    <t xml:space="preserve">Ryzen 7 PRO 3700</t>
  </si>
  <si>
    <t xml:space="preserve">X1 Carbon</t>
  </si>
  <si>
    <t xml:space="preserve">4th</t>
  </si>
  <si>
    <t xml:space="preserve">For Parts</t>
  </si>
  <si>
    <t xml:space="preserve">EliteBook 850 G6</t>
  </si>
  <si>
    <t xml:space="preserve">EliteBook 830 G5</t>
  </si>
  <si>
    <t xml:space="preserve">EliteBook 745 G5</t>
  </si>
  <si>
    <t xml:space="preserve">EliteBook 840 G3</t>
  </si>
  <si>
    <t xml:space="preserve">EliteBook 830 G6</t>
  </si>
  <si>
    <t xml:space="preserve">Envy 360</t>
  </si>
  <si>
    <t xml:space="preserve">Vincent</t>
  </si>
  <si>
    <t xml:space="preserve">Gaming Console</t>
  </si>
  <si>
    <t xml:space="preserve">Nintendo</t>
  </si>
  <si>
    <t xml:space="preserve">GameCube</t>
  </si>
  <si>
    <t xml:space="preserve">Gaming controller </t>
  </si>
  <si>
    <t xml:space="preserve">Nintendo </t>
  </si>
  <si>
    <t xml:space="preserve">GameCube </t>
  </si>
  <si>
    <t xml:space="preserve">King</t>
  </si>
  <si>
    <t xml:space="preserve">EliteBook</t>
  </si>
  <si>
    <t xml:space="preserve">840 G2</t>
  </si>
  <si>
    <t xml:space="preserve">5th</t>
  </si>
  <si>
    <t xml:space="preserve">840 G3</t>
  </si>
  <si>
    <t xml:space="preserve">840 G4</t>
  </si>
  <si>
    <t xml:space="preserve">ProBook</t>
  </si>
  <si>
    <t xml:space="preserve">650 G2</t>
  </si>
  <si>
    <t xml:space="preserve">650 G3</t>
  </si>
  <si>
    <t xml:space="preserve">640 G2</t>
  </si>
  <si>
    <t xml:space="preserve">GTR Corona</t>
  </si>
  <si>
    <t xml:space="preserve">450 G1 G2</t>
  </si>
  <si>
    <t xml:space="preserve">i3</t>
  </si>
  <si>
    <t xml:space="preserve">4th-5th</t>
  </si>
  <si>
    <t xml:space="preserve">640 G3</t>
  </si>
  <si>
    <t xml:space="preserve">i5</t>
  </si>
  <si>
    <t xml:space="preserve">640 G1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</si>
</sst>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"/>
    <numFmt numFmtId="167" formatCode="m/d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5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theme="1"/>
      <name val="Arial"/>
      <family val="0"/>
      <charset val="1"/>
    </font>
    <font>
      <strike val="true"/>
      <sz val="11"/>
      <color theme="1"/>
      <name val="Arial"/>
      <family val="0"/>
      <charset val="1"/>
    </font>
    <font>
      <strike val="true"/>
      <sz val="11"/>
      <color rgb="FF1C1C1D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0000FF"/>
      </right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>
        <color rgb="FF0000FF"/>
      </right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4.25"/>
    <col collapsed="false" customWidth="true" hidden="false" outlineLevel="0" max="10" min="10" style="0" width="27.25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8.55" hidden="false" customHeight="false" outlineLevel="0" collapsed="false">
      <c r="A3" s="3" t="s">
        <v>1</v>
      </c>
      <c r="B3" s="4" t="s">
        <v>2</v>
      </c>
      <c r="C3" s="4"/>
      <c r="D3" s="5"/>
      <c r="E3" s="2"/>
      <c r="F3" s="2"/>
      <c r="G3" s="6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8.55" hidden="false" customHeight="false" outlineLevel="0" collapsed="false">
      <c r="A4" s="3" t="s">
        <v>3</v>
      </c>
      <c r="B4" s="9" t="n">
        <v>46083</v>
      </c>
      <c r="C4" s="9"/>
      <c r="D4" s="10"/>
      <c r="E4" s="2"/>
      <c r="F4" s="2"/>
      <c r="G4" s="6"/>
      <c r="H4" s="7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8.55" hidden="false" customHeight="false" outlineLevel="0" collapsed="false">
      <c r="A5" s="3" t="s">
        <v>4</v>
      </c>
      <c r="B5" s="4" t="n">
        <v>841748</v>
      </c>
      <c r="C5" s="4"/>
      <c r="D5" s="5"/>
      <c r="E5" s="2"/>
      <c r="F5" s="11"/>
      <c r="G5" s="11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6"/>
      <c r="H6" s="7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.75" hidden="false" customHeight="false" outlineLevel="0" collapsed="false">
      <c r="A7" s="12"/>
      <c r="B7" s="12"/>
      <c r="C7" s="12"/>
      <c r="D7" s="12"/>
      <c r="E7" s="12"/>
      <c r="F7" s="12"/>
      <c r="G7" s="13"/>
      <c r="H7" s="14"/>
      <c r="I7" s="15"/>
      <c r="J7" s="12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30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8" t="s">
        <v>11</v>
      </c>
      <c r="H8" s="19" t="s">
        <v>12</v>
      </c>
      <c r="I8" s="20" t="s">
        <v>13</v>
      </c>
      <c r="J8" s="21" t="s">
        <v>14</v>
      </c>
      <c r="K8" s="21" t="s">
        <v>15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customFormat="false" ht="31.5" hidden="false" customHeight="true" outlineLevel="0" collapsed="false">
      <c r="A9" s="23"/>
      <c r="B9" s="23"/>
      <c r="C9" s="23"/>
      <c r="D9" s="23"/>
      <c r="E9" s="23"/>
      <c r="F9" s="23"/>
      <c r="G9" s="24"/>
      <c r="H9" s="23"/>
      <c r="I9" s="25"/>
      <c r="J9" s="25"/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31.5" hidden="false" customHeight="true" outlineLevel="0" collapsed="false">
      <c r="A10" s="23" t="s">
        <v>16</v>
      </c>
      <c r="B10" s="23" t="s">
        <v>17</v>
      </c>
      <c r="C10" s="23" t="s">
        <v>18</v>
      </c>
      <c r="D10" s="23" t="s">
        <v>19</v>
      </c>
      <c r="E10" s="23" t="s">
        <v>20</v>
      </c>
      <c r="F10" s="23" t="s">
        <v>21</v>
      </c>
      <c r="G10" s="24" t="n">
        <v>15</v>
      </c>
      <c r="H10" s="23" t="n">
        <v>1</v>
      </c>
      <c r="I10" s="25" t="n">
        <f aca="false">G10*H10</f>
        <v>15</v>
      </c>
      <c r="J10" s="25" t="str">
        <f aca="false">IF(A10="","",A10 &amp; " " &amp; B10 &amp; " " &amp; C10 &amp; " " &amp; E10 &amp; " " &amp; F10)</f>
        <v>Laptop HP ChromeBook - Untested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31.5" hidden="false" customHeight="true" outlineLevel="0" collapsed="false">
      <c r="A11" s="23" t="s">
        <v>16</v>
      </c>
      <c r="B11" s="23" t="s">
        <v>22</v>
      </c>
      <c r="C11" s="23" t="s">
        <v>23</v>
      </c>
      <c r="D11" s="23" t="n">
        <v>3480</v>
      </c>
      <c r="E11" s="23" t="s">
        <v>24</v>
      </c>
      <c r="F11" s="23" t="s">
        <v>21</v>
      </c>
      <c r="G11" s="24" t="n">
        <v>45</v>
      </c>
      <c r="H11" s="23" t="n">
        <v>1</v>
      </c>
      <c r="I11" s="25" t="n">
        <f aca="false">G11*H11</f>
        <v>45</v>
      </c>
      <c r="J11" s="25" t="str">
        <f aca="false">IF(A11="","",A11 &amp; " " &amp; B11 &amp; " " &amp; C11 &amp; " " &amp; E11 &amp; " " &amp; F11)</f>
        <v>Laptop Dell Latitude 7th Untested</v>
      </c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31.5" hidden="false" customHeight="true" outlineLevel="0" collapsed="false">
      <c r="A12" s="23"/>
      <c r="B12" s="23"/>
      <c r="C12" s="23"/>
      <c r="D12" s="23"/>
      <c r="E12" s="23"/>
      <c r="F12" s="23"/>
      <c r="G12" s="24"/>
      <c r="H12" s="23"/>
      <c r="I12" s="25"/>
      <c r="J12" s="25" t="str">
        <f aca="false">IF(A12="","",A12 &amp; " " &amp; B12 &amp; " " &amp; C12 &amp; " " &amp; E12 &amp; " " &amp; F12)</f>
        <v/>
      </c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31.5" hidden="false" customHeight="true" outlineLevel="0" collapsed="false">
      <c r="A13" s="23"/>
      <c r="B13" s="26" t="s">
        <v>13</v>
      </c>
      <c r="C13" s="23"/>
      <c r="D13" s="23"/>
      <c r="E13" s="23"/>
      <c r="F13" s="23"/>
      <c r="G13" s="24"/>
      <c r="H13" s="23" t="n">
        <f aca="false">SUM(H9:H12)</f>
        <v>2</v>
      </c>
      <c r="I13" s="25" t="n">
        <f aca="false">SUM(I9:I12)</f>
        <v>60</v>
      </c>
      <c r="J13" s="23"/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</sheetData>
  <mergeCells count="5">
    <mergeCell ref="A1:I2"/>
    <mergeCell ref="B3:C3"/>
    <mergeCell ref="B4:C4"/>
    <mergeCell ref="B5:C5"/>
    <mergeCell ref="F5:G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10" min="10" style="0" width="34"/>
  </cols>
  <sheetData>
    <row r="1" customFormat="false" ht="15.7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8.55" hidden="false" customHeight="false" outlineLevel="0" collapsed="false">
      <c r="A3" s="3" t="s">
        <v>1</v>
      </c>
      <c r="B3" s="4"/>
      <c r="C3" s="4"/>
      <c r="D3" s="5"/>
      <c r="E3" s="2"/>
      <c r="F3" s="2"/>
      <c r="G3" s="6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8.55" hidden="false" customHeight="false" outlineLevel="0" collapsed="false">
      <c r="A4" s="3" t="s">
        <v>3</v>
      </c>
      <c r="B4" s="9"/>
      <c r="C4" s="9"/>
      <c r="D4" s="10"/>
      <c r="E4" s="2"/>
      <c r="F4" s="2"/>
      <c r="G4" s="6"/>
      <c r="H4" s="7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8.55" hidden="false" customHeight="false" outlineLevel="0" collapsed="false">
      <c r="A5" s="3" t="s">
        <v>4</v>
      </c>
      <c r="B5" s="4"/>
      <c r="C5" s="4"/>
      <c r="D5" s="5"/>
      <c r="E5" s="2"/>
      <c r="F5" s="11"/>
      <c r="G5" s="11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6"/>
      <c r="H6" s="7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.75" hidden="false" customHeight="false" outlineLevel="0" collapsed="false">
      <c r="A7" s="12"/>
      <c r="B7" s="12"/>
      <c r="C7" s="12"/>
      <c r="D7" s="12"/>
      <c r="E7" s="12"/>
      <c r="F7" s="12"/>
      <c r="G7" s="13"/>
      <c r="H7" s="14"/>
      <c r="I7" s="15"/>
      <c r="J7" s="12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30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8" t="s">
        <v>11</v>
      </c>
      <c r="H8" s="19" t="s">
        <v>12</v>
      </c>
      <c r="I8" s="20" t="s">
        <v>13</v>
      </c>
      <c r="J8" s="21" t="s">
        <v>26</v>
      </c>
      <c r="K8" s="21" t="s">
        <v>15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customFormat="false" ht="31.5" hidden="false" customHeight="true" outlineLevel="0" collapsed="false">
      <c r="A9" s="23"/>
      <c r="B9" s="23"/>
      <c r="C9" s="23"/>
      <c r="D9" s="23"/>
      <c r="E9" s="23"/>
      <c r="F9" s="23"/>
      <c r="G9" s="24"/>
      <c r="H9" s="23"/>
      <c r="I9" s="25"/>
      <c r="J9" s="25" t="str">
        <f aca="false">IF(A9="","",A9 &amp; " " &amp; B9 &amp; " " &amp; C9 &amp; " " &amp; D9 &amp; " " &amp; E9 &amp; " " &amp; F9)</f>
        <v/>
      </c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31.5" hidden="false" customHeight="true" outlineLevel="0" collapsed="false">
      <c r="A10" s="23"/>
      <c r="B10" s="23"/>
      <c r="C10" s="23"/>
      <c r="D10" s="23"/>
      <c r="E10" s="23"/>
      <c r="F10" s="23"/>
      <c r="G10" s="24"/>
      <c r="H10" s="23"/>
      <c r="I10" s="25" t="n">
        <f aca="false">G10*H10</f>
        <v>0</v>
      </c>
      <c r="J10" s="25" t="str">
        <f aca="false">IF(A10="","",A10 &amp; " " &amp; B10 &amp; " " &amp; C10 &amp; " " &amp; E10 &amp; " " &amp; F10)</f>
        <v/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31.5" hidden="false" customHeight="true" outlineLevel="0" collapsed="false">
      <c r="A11" s="23"/>
      <c r="B11" s="23"/>
      <c r="C11" s="23"/>
      <c r="D11" s="23"/>
      <c r="E11" s="23"/>
      <c r="F11" s="23"/>
      <c r="G11" s="24"/>
      <c r="H11" s="23"/>
      <c r="I11" s="25" t="n">
        <f aca="false">G11*H11</f>
        <v>0</v>
      </c>
      <c r="J11" s="25" t="str">
        <f aca="false">IF(A11="","",A11 &amp; " " &amp; B11 &amp; " " &amp; C11 &amp; " " &amp; E11 &amp; " " &amp; F11)</f>
        <v/>
      </c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31.5" hidden="false" customHeight="true" outlineLevel="0" collapsed="false">
      <c r="A12" s="23"/>
      <c r="B12" s="23"/>
      <c r="C12" s="23"/>
      <c r="D12" s="23"/>
      <c r="E12" s="23"/>
      <c r="F12" s="23"/>
      <c r="G12" s="24"/>
      <c r="H12" s="23"/>
      <c r="I12" s="25" t="n">
        <f aca="false">G12*H12</f>
        <v>0</v>
      </c>
      <c r="J12" s="25" t="str">
        <f aca="false">IF(A12="","",A12 &amp; " " &amp; B12 &amp; " " &amp; C12 &amp; " " &amp; E12 &amp; " " &amp; F12)</f>
        <v/>
      </c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31.5" hidden="false" customHeight="true" outlineLevel="0" collapsed="false">
      <c r="A13" s="23"/>
      <c r="B13" s="23"/>
      <c r="C13" s="23"/>
      <c r="D13" s="23"/>
      <c r="E13" s="23"/>
      <c r="F13" s="23"/>
      <c r="G13" s="24"/>
      <c r="H13" s="23"/>
      <c r="I13" s="25" t="n">
        <f aca="false">G13*H13</f>
        <v>0</v>
      </c>
      <c r="J13" s="25" t="str">
        <f aca="false">IF(A13="","",A13 &amp; " " &amp; B13 &amp; " " &amp; C13 &amp; " " &amp; E13 &amp; " " &amp; F13)</f>
        <v/>
      </c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31.5" hidden="false" customHeight="true" outlineLevel="0" collapsed="false">
      <c r="A14" s="23"/>
      <c r="B14" s="23"/>
      <c r="C14" s="23"/>
      <c r="D14" s="23"/>
      <c r="E14" s="23"/>
      <c r="F14" s="23"/>
      <c r="G14" s="24"/>
      <c r="H14" s="23"/>
      <c r="I14" s="25" t="n">
        <f aca="false">G14*H14</f>
        <v>0</v>
      </c>
      <c r="J14" s="25" t="str">
        <f aca="false">IF(A14="","",A14 &amp; " " &amp; B14 &amp; " " &amp; C14 &amp; " " &amp; E14 &amp; " " &amp; F14)</f>
        <v/>
      </c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31.5" hidden="false" customHeight="true" outlineLevel="0" collapsed="false">
      <c r="A15" s="23"/>
      <c r="B15" s="23"/>
      <c r="C15" s="23"/>
      <c r="D15" s="23"/>
      <c r="E15" s="23"/>
      <c r="F15" s="23"/>
      <c r="G15" s="24"/>
      <c r="H15" s="23"/>
      <c r="I15" s="25" t="n">
        <f aca="false">G15*H15</f>
        <v>0</v>
      </c>
      <c r="J15" s="25" t="str">
        <f aca="false">IF(A15="","",A15 &amp; " " &amp; B15 &amp; " " &amp; C15 &amp; " " &amp; E15 &amp; " " &amp; F15)</f>
        <v/>
      </c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31.5" hidden="false" customHeight="true" outlineLevel="0" collapsed="false">
      <c r="A16" s="23"/>
      <c r="B16" s="23"/>
      <c r="C16" s="23"/>
      <c r="D16" s="23"/>
      <c r="E16" s="23"/>
      <c r="F16" s="23"/>
      <c r="G16" s="24"/>
      <c r="H16" s="23"/>
      <c r="I16" s="25" t="n">
        <f aca="false">G16*H16</f>
        <v>0</v>
      </c>
      <c r="J16" s="25" t="str">
        <f aca="false">IF(A16="","",A16 &amp; " " &amp; B16 &amp; " " &amp; C16 &amp; " " &amp; E16 &amp; " " &amp; F16)</f>
        <v/>
      </c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31.5" hidden="false" customHeight="true" outlineLevel="0" collapsed="false">
      <c r="A17" s="23"/>
      <c r="B17" s="23"/>
      <c r="C17" s="23"/>
      <c r="D17" s="23"/>
      <c r="E17" s="23"/>
      <c r="F17" s="23"/>
      <c r="G17" s="24"/>
      <c r="H17" s="23"/>
      <c r="I17" s="25" t="n">
        <f aca="false">G17*H17</f>
        <v>0</v>
      </c>
      <c r="J17" s="25" t="str">
        <f aca="false">IF(A17="","",A17 &amp; " " &amp; B17 &amp; " " &amp; C17 &amp; " " &amp; E17 &amp; " " &amp; F17)</f>
        <v/>
      </c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31.5" hidden="false" customHeight="true" outlineLevel="0" collapsed="false">
      <c r="A18" s="23"/>
      <c r="B18" s="23"/>
      <c r="C18" s="23"/>
      <c r="D18" s="23"/>
      <c r="E18" s="23"/>
      <c r="F18" s="23"/>
      <c r="G18" s="24"/>
      <c r="H18" s="23"/>
      <c r="I18" s="25" t="n">
        <f aca="false">G18*H18</f>
        <v>0</v>
      </c>
      <c r="J18" s="25" t="str">
        <f aca="false">IF(A18="","",A18 &amp; " " &amp; B18 &amp; " " &amp; C18 &amp; " " &amp; E18 &amp; " " &amp; F18)</f>
        <v/>
      </c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31.5" hidden="false" customHeight="true" outlineLevel="0" collapsed="false">
      <c r="A19" s="23"/>
      <c r="B19" s="23"/>
      <c r="C19" s="23"/>
      <c r="D19" s="23"/>
      <c r="E19" s="23"/>
      <c r="F19" s="23"/>
      <c r="G19" s="24"/>
      <c r="H19" s="23"/>
      <c r="I19" s="25" t="n">
        <f aca="false">G19*H19</f>
        <v>0</v>
      </c>
      <c r="J19" s="25" t="str">
        <f aca="false">IF(A19="","",A19 &amp; " " &amp; B19 &amp; " " &amp; C19 &amp; " " &amp; E19 &amp; " " &amp; F19)</f>
        <v/>
      </c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31.5" hidden="false" customHeight="true" outlineLevel="0" collapsed="false">
      <c r="A20" s="23"/>
      <c r="B20" s="23"/>
      <c r="C20" s="23"/>
      <c r="D20" s="23"/>
      <c r="E20" s="23"/>
      <c r="F20" s="23"/>
      <c r="G20" s="24"/>
      <c r="H20" s="23"/>
      <c r="I20" s="25" t="n">
        <f aca="false">G20*H20</f>
        <v>0</v>
      </c>
      <c r="J20" s="25" t="str">
        <f aca="false">IF(A20="","",A20 &amp; " " &amp; B20 &amp; " " &amp; C20 &amp; " " &amp; E20 &amp; " " &amp; F20)</f>
        <v/>
      </c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31.5" hidden="false" customHeight="true" outlineLevel="0" collapsed="false">
      <c r="A21" s="23"/>
      <c r="B21" s="23"/>
      <c r="C21" s="23"/>
      <c r="D21" s="23"/>
      <c r="E21" s="23"/>
      <c r="F21" s="23"/>
      <c r="G21" s="24"/>
      <c r="H21" s="23"/>
      <c r="I21" s="25" t="n">
        <f aca="false">G21*H21</f>
        <v>0</v>
      </c>
      <c r="J21" s="25" t="str">
        <f aca="false">IF(A21="","",A21 &amp; " " &amp; B21 &amp; " " &amp; C21 &amp; " " &amp; E21 &amp; " " &amp; F21)</f>
        <v/>
      </c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31.5" hidden="false" customHeight="true" outlineLevel="0" collapsed="false">
      <c r="A22" s="23"/>
      <c r="B22" s="23"/>
      <c r="C22" s="23"/>
      <c r="D22" s="23"/>
      <c r="E22" s="23"/>
      <c r="F22" s="23"/>
      <c r="G22" s="24"/>
      <c r="H22" s="23"/>
      <c r="I22" s="25" t="n">
        <f aca="false">G22*H22</f>
        <v>0</v>
      </c>
      <c r="J22" s="25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31.5" hidden="false" customHeight="true" outlineLevel="0" collapsed="false">
      <c r="A23" s="23"/>
      <c r="B23" s="23"/>
      <c r="C23" s="23"/>
      <c r="D23" s="23"/>
      <c r="E23" s="23"/>
      <c r="F23" s="23"/>
      <c r="G23" s="24"/>
      <c r="H23" s="23"/>
      <c r="I23" s="25" t="n">
        <f aca="false">G23*H23</f>
        <v>0</v>
      </c>
      <c r="J23" s="25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31.5" hidden="false" customHeight="true" outlineLevel="0" collapsed="false">
      <c r="A24" s="23"/>
      <c r="B24" s="23"/>
      <c r="C24" s="23"/>
      <c r="D24" s="23"/>
      <c r="E24" s="23"/>
      <c r="F24" s="23"/>
      <c r="G24" s="24"/>
      <c r="H24" s="23"/>
      <c r="I24" s="25" t="n">
        <f aca="false">G24*H24</f>
        <v>0</v>
      </c>
      <c r="J24" s="25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31.5" hidden="false" customHeight="true" outlineLevel="0" collapsed="false">
      <c r="A25" s="23"/>
      <c r="B25" s="23"/>
      <c r="C25" s="27"/>
      <c r="D25" s="23"/>
      <c r="E25" s="23"/>
      <c r="F25" s="23"/>
      <c r="G25" s="24"/>
      <c r="H25" s="23"/>
      <c r="I25" s="25" t="n">
        <f aca="false">G25*H25</f>
        <v>0</v>
      </c>
      <c r="J25" s="25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31.5" hidden="false" customHeight="true" outlineLevel="0" collapsed="false">
      <c r="A26" s="23"/>
      <c r="B26" s="23"/>
      <c r="C26" s="23"/>
      <c r="D26" s="23"/>
      <c r="E26" s="23"/>
      <c r="F26" s="23"/>
      <c r="G26" s="24"/>
      <c r="H26" s="23"/>
      <c r="I26" s="25" t="n">
        <f aca="false">G26*H26</f>
        <v>0</v>
      </c>
      <c r="J26" s="25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31.5" hidden="false" customHeight="true" outlineLevel="0" collapsed="false">
      <c r="A27" s="23"/>
      <c r="B27" s="26" t="s">
        <v>13</v>
      </c>
      <c r="C27" s="23"/>
      <c r="D27" s="23"/>
      <c r="E27" s="23"/>
      <c r="F27" s="23"/>
      <c r="G27" s="24"/>
      <c r="H27" s="23" t="n">
        <f aca="false">SUM(H9:H26)</f>
        <v>0</v>
      </c>
      <c r="I27" s="25" t="n">
        <f aca="false">SUM(I9:I26)</f>
        <v>0</v>
      </c>
      <c r="J27" s="2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</sheetData>
  <mergeCells count="5">
    <mergeCell ref="A1:I2"/>
    <mergeCell ref="B3:C3"/>
    <mergeCell ref="B4:C4"/>
    <mergeCell ref="B5:C5"/>
    <mergeCell ref="F5:G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A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3" min="3" style="0" width="14.25"/>
    <col collapsed="false" customWidth="true" hidden="false" outlineLevel="0" max="4" min="4" style="0" width="16.75"/>
    <col collapsed="false" customWidth="true" hidden="false" outlineLevel="0" max="9" min="9" style="0" width="44.3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8.55" hidden="false" customHeight="false" outlineLevel="0" collapsed="false">
      <c r="A3" s="3" t="s">
        <v>1</v>
      </c>
      <c r="B3" s="4" t="s">
        <v>27</v>
      </c>
      <c r="C3" s="4"/>
      <c r="D3" s="2"/>
      <c r="E3" s="2"/>
      <c r="F3" s="6"/>
      <c r="G3" s="7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8.55" hidden="false" customHeight="false" outlineLevel="0" collapsed="false">
      <c r="A4" s="3" t="s">
        <v>3</v>
      </c>
      <c r="B4" s="9" t="n">
        <v>46083</v>
      </c>
      <c r="C4" s="9"/>
      <c r="D4" s="2"/>
      <c r="E4" s="2"/>
      <c r="F4" s="6"/>
      <c r="G4" s="7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8.55" hidden="false" customHeight="false" outlineLevel="0" collapsed="false">
      <c r="A5" s="3" t="s">
        <v>4</v>
      </c>
      <c r="B5" s="4" t="n">
        <v>841746</v>
      </c>
      <c r="C5" s="4"/>
      <c r="D5" s="2"/>
      <c r="E5" s="11"/>
      <c r="F5" s="11"/>
      <c r="G5" s="7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6"/>
      <c r="G6" s="7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15.75" hidden="false" customHeight="false" outlineLevel="0" collapsed="false">
      <c r="A7" s="12"/>
      <c r="B7" s="12"/>
      <c r="C7" s="12"/>
      <c r="D7" s="12"/>
      <c r="E7" s="12"/>
      <c r="F7" s="13"/>
      <c r="G7" s="14"/>
      <c r="H7" s="13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30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9</v>
      </c>
      <c r="E8" s="17" t="s">
        <v>10</v>
      </c>
      <c r="F8" s="18" t="s">
        <v>11</v>
      </c>
      <c r="G8" s="19" t="s">
        <v>12</v>
      </c>
      <c r="H8" s="28" t="s">
        <v>13</v>
      </c>
      <c r="I8" s="21" t="s">
        <v>14</v>
      </c>
      <c r="J8" s="21" t="s">
        <v>15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customFormat="false" ht="31.5" hidden="false" customHeight="true" outlineLevel="0" collapsed="false">
      <c r="A9" s="23"/>
      <c r="B9" s="23"/>
      <c r="C9" s="23"/>
      <c r="D9" s="23"/>
      <c r="E9" s="23"/>
      <c r="F9" s="24"/>
      <c r="G9" s="23"/>
      <c r="H9" s="24"/>
      <c r="I9" s="25"/>
      <c r="J9" s="2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31.5" hidden="false" customHeight="true" outlineLevel="0" collapsed="false">
      <c r="A10" s="23" t="s">
        <v>16</v>
      </c>
      <c r="B10" s="23" t="s">
        <v>28</v>
      </c>
      <c r="C10" s="23" t="s">
        <v>29</v>
      </c>
      <c r="D10" s="23" t="s">
        <v>30</v>
      </c>
      <c r="E10" s="23" t="s">
        <v>21</v>
      </c>
      <c r="F10" s="24" t="n">
        <v>35</v>
      </c>
      <c r="G10" s="23" t="n">
        <v>36</v>
      </c>
      <c r="H10" s="24" t="n">
        <f aca="false">G10*F10</f>
        <v>1260</v>
      </c>
      <c r="I10" s="25" t="str">
        <f aca="false">IF(A10="","",A10 &amp; " " &amp; B10 &amp; " " &amp; C10 &amp; " " &amp; D10 &amp; " " &amp; E10)</f>
        <v>Laptop Lenovo  Carbon X1 4th Gen Untested</v>
      </c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31.5" hidden="false" customHeight="true" outlineLevel="0" collapsed="false">
      <c r="A11" s="23" t="s">
        <v>16</v>
      </c>
      <c r="B11" s="23" t="s">
        <v>17</v>
      </c>
      <c r="C11" s="23" t="s">
        <v>31</v>
      </c>
      <c r="D11" s="23" t="s">
        <v>32</v>
      </c>
      <c r="E11" s="23" t="s">
        <v>21</v>
      </c>
      <c r="F11" s="24" t="n">
        <v>55</v>
      </c>
      <c r="G11" s="23" t="n">
        <v>3</v>
      </c>
      <c r="H11" s="24" t="n">
        <f aca="false">G11*F11</f>
        <v>165</v>
      </c>
      <c r="I11" s="25" t="str">
        <f aca="false">IF(A11="","",A11 &amp; " " &amp; B11 &amp; " " &amp; C11 &amp; " " &amp; D11 &amp; " " &amp; E11)</f>
        <v>Laptop HP Elitebook 840 G3 6th Untested</v>
      </c>
      <c r="J11" s="2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31.5" hidden="false" customHeight="true" outlineLevel="0" collapsed="false">
      <c r="A12" s="23" t="s">
        <v>16</v>
      </c>
      <c r="B12" s="23" t="s">
        <v>17</v>
      </c>
      <c r="C12" s="23" t="s">
        <v>33</v>
      </c>
      <c r="D12" s="23" t="s">
        <v>24</v>
      </c>
      <c r="E12" s="23" t="s">
        <v>21</v>
      </c>
      <c r="F12" s="24" t="n">
        <v>55</v>
      </c>
      <c r="G12" s="23" t="n">
        <v>2</v>
      </c>
      <c r="H12" s="24" t="n">
        <f aca="false">G12*F12</f>
        <v>110</v>
      </c>
      <c r="I12" s="25" t="str">
        <f aca="false">IF(A12="","",A12 &amp; " " &amp; B12 &amp; " " &amp; C12 &amp; " " &amp; D12 &amp; " " &amp; E12)</f>
        <v>Laptop HP EliteBook 840 G4 7th Untested</v>
      </c>
      <c r="J12" s="2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31.5" hidden="false" customHeight="true" outlineLevel="0" collapsed="false">
      <c r="A13" s="23" t="s">
        <v>16</v>
      </c>
      <c r="B13" s="23" t="s">
        <v>17</v>
      </c>
      <c r="C13" s="23" t="s">
        <v>34</v>
      </c>
      <c r="D13" s="23" t="s">
        <v>24</v>
      </c>
      <c r="E13" s="23" t="s">
        <v>21</v>
      </c>
      <c r="F13" s="24" t="n">
        <v>55</v>
      </c>
      <c r="G13" s="23" t="n">
        <v>4</v>
      </c>
      <c r="H13" s="24" t="n">
        <f aca="false">G13*F13</f>
        <v>220</v>
      </c>
      <c r="I13" s="25" t="str">
        <f aca="false">IF(A13="","",A13 &amp; " " &amp; B13 &amp; " " &amp; C13 &amp; " " &amp; D13 &amp; " " &amp; E13)</f>
        <v>Laptop HP EliteBook 840 G5 7th Untested</v>
      </c>
      <c r="J13" s="2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31.5" hidden="false" customHeight="true" outlineLevel="0" collapsed="false">
      <c r="A14" s="23" t="s">
        <v>16</v>
      </c>
      <c r="B14" s="23" t="s">
        <v>17</v>
      </c>
      <c r="C14" s="23" t="s">
        <v>35</v>
      </c>
      <c r="D14" s="23" t="s">
        <v>36</v>
      </c>
      <c r="E14" s="23" t="s">
        <v>21</v>
      </c>
      <c r="F14" s="24" t="n">
        <v>60</v>
      </c>
      <c r="G14" s="23" t="n">
        <v>1</v>
      </c>
      <c r="H14" s="24" t="n">
        <f aca="false">G14*F14</f>
        <v>60</v>
      </c>
      <c r="I14" s="25" t="str">
        <f aca="false">IF(A14="","",A14 &amp; " " &amp; B14 &amp; " " &amp; C14 &amp; " " &amp; D14 &amp; " " &amp; E14)</f>
        <v>Laptop HP Elitebook 830 G5 i5-8th Untested</v>
      </c>
      <c r="J14" s="2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31.5" hidden="false" customHeight="true" outlineLevel="0" collapsed="false">
      <c r="A15" s="23" t="s">
        <v>16</v>
      </c>
      <c r="B15" s="23" t="s">
        <v>17</v>
      </c>
      <c r="C15" s="23" t="s">
        <v>37</v>
      </c>
      <c r="D15" s="23" t="s">
        <v>36</v>
      </c>
      <c r="E15" s="23" t="s">
        <v>21</v>
      </c>
      <c r="F15" s="24" t="n">
        <v>60</v>
      </c>
      <c r="G15" s="23" t="n">
        <v>2</v>
      </c>
      <c r="H15" s="24" t="n">
        <f aca="false">G15*F15</f>
        <v>120</v>
      </c>
      <c r="I15" s="25" t="str">
        <f aca="false">IF(A15="","",A15 &amp; " " &amp; B15 &amp; " " &amp; C15 &amp; " " &amp; D15 &amp; " " &amp; E15)</f>
        <v>Laptop HP ProBook 650 G5 i5-8th Untested</v>
      </c>
      <c r="J15" s="2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31.5" hidden="false" customHeight="true" outlineLevel="0" collapsed="false">
      <c r="A16" s="23" t="s">
        <v>16</v>
      </c>
      <c r="B16" s="23" t="s">
        <v>17</v>
      </c>
      <c r="C16" s="23" t="s">
        <v>38</v>
      </c>
      <c r="D16" s="23" t="s">
        <v>36</v>
      </c>
      <c r="E16" s="23" t="s">
        <v>21</v>
      </c>
      <c r="F16" s="24" t="n">
        <v>60</v>
      </c>
      <c r="G16" s="23" t="n">
        <v>1</v>
      </c>
      <c r="H16" s="24" t="n">
        <f aca="false">G16*F16</f>
        <v>60</v>
      </c>
      <c r="I16" s="25" t="str">
        <f aca="false">IF(A16="","",A16 &amp; " " &amp; B16 &amp; " " &amp; C16 &amp; " " &amp; D16 &amp; " " &amp; E16)</f>
        <v>Laptop HP ProBook 450 G6 i5-8th Untested</v>
      </c>
      <c r="J16" s="2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31.5" hidden="false" customHeight="true" outlineLevel="0" collapsed="false">
      <c r="A17" s="23" t="s">
        <v>16</v>
      </c>
      <c r="B17" s="23" t="s">
        <v>17</v>
      </c>
      <c r="C17" s="23" t="s">
        <v>34</v>
      </c>
      <c r="D17" s="23" t="s">
        <v>36</v>
      </c>
      <c r="E17" s="23" t="s">
        <v>21</v>
      </c>
      <c r="F17" s="24" t="n">
        <v>60</v>
      </c>
      <c r="G17" s="23" t="n">
        <v>1</v>
      </c>
      <c r="H17" s="24" t="n">
        <f aca="false">G17*F17</f>
        <v>60</v>
      </c>
      <c r="I17" s="25" t="str">
        <f aca="false">IF(A17="","",A17 &amp; " " &amp; B17 &amp; " " &amp; C17 &amp; " " &amp; D17 &amp; " " &amp; E17)</f>
        <v>Laptop HP EliteBook 840 G5 i5-8th Untested</v>
      </c>
      <c r="J17" s="2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31.5" hidden="false" customHeight="true" outlineLevel="0" collapsed="false">
      <c r="A18" s="23" t="s">
        <v>16</v>
      </c>
      <c r="B18" s="23" t="s">
        <v>17</v>
      </c>
      <c r="C18" s="23" t="s">
        <v>39</v>
      </c>
      <c r="D18" s="23" t="s">
        <v>40</v>
      </c>
      <c r="E18" s="23" t="s">
        <v>21</v>
      </c>
      <c r="F18" s="24" t="n">
        <v>65</v>
      </c>
      <c r="G18" s="23" t="n">
        <v>3</v>
      </c>
      <c r="H18" s="24" t="n">
        <f aca="false">G18*F18</f>
        <v>195</v>
      </c>
      <c r="I18" s="25" t="str">
        <f aca="false">IF(A18="","",A18 &amp; " " &amp; B18 &amp; " " &amp; C18 &amp; " " &amp; D18 &amp; " " &amp; E18)</f>
        <v>Laptop HP EliteBook 850 G5 i7-8th Untested</v>
      </c>
      <c r="J18" s="2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31.5" hidden="false" customHeight="true" outlineLevel="0" collapsed="false">
      <c r="A19" s="23" t="s">
        <v>16</v>
      </c>
      <c r="B19" s="23" t="s">
        <v>17</v>
      </c>
      <c r="C19" s="23" t="s">
        <v>37</v>
      </c>
      <c r="D19" s="23" t="s">
        <v>40</v>
      </c>
      <c r="E19" s="23" t="s">
        <v>21</v>
      </c>
      <c r="F19" s="24" t="n">
        <v>65</v>
      </c>
      <c r="G19" s="23" t="n">
        <v>1</v>
      </c>
      <c r="H19" s="24" t="n">
        <f aca="false">G19*F19</f>
        <v>65</v>
      </c>
      <c r="I19" s="25" t="str">
        <f aca="false">IF(A19="","",A19 &amp; " " &amp; B19 &amp; " " &amp; C19 &amp; " " &amp; D19 &amp; " " &amp; E19)</f>
        <v>Laptop HP ProBook 650 G5 i7-8th Untested</v>
      </c>
      <c r="J19" s="2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31.5" hidden="false" customHeight="true" outlineLevel="0" collapsed="false">
      <c r="A20" s="23" t="s">
        <v>16</v>
      </c>
      <c r="B20" s="23" t="s">
        <v>17</v>
      </c>
      <c r="C20" s="23" t="s">
        <v>41</v>
      </c>
      <c r="D20" s="12" t="s">
        <v>40</v>
      </c>
      <c r="E20" s="23" t="s">
        <v>21</v>
      </c>
      <c r="F20" s="24" t="n">
        <v>65</v>
      </c>
      <c r="G20" s="23" t="n">
        <v>2</v>
      </c>
      <c r="H20" s="24" t="n">
        <f aca="false">G20*F20</f>
        <v>130</v>
      </c>
      <c r="I20" s="25" t="str">
        <f aca="false">IF(A20="","",A20 &amp; " " &amp; B20 &amp; " " &amp; C20 &amp; " " &amp; D20 &amp; " " &amp; E20)</f>
        <v>Laptop HP ProBook 650 G4 i7-8th Untested</v>
      </c>
      <c r="J20" s="2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31.5" hidden="false" customHeight="true" outlineLevel="0" collapsed="false">
      <c r="A21" s="30" t="s">
        <v>16</v>
      </c>
      <c r="B21" s="30" t="s">
        <v>17</v>
      </c>
      <c r="C21" s="30" t="s">
        <v>42</v>
      </c>
      <c r="D21" s="31" t="s">
        <v>43</v>
      </c>
      <c r="E21" s="30" t="s">
        <v>21</v>
      </c>
      <c r="F21" s="32" t="n">
        <v>85</v>
      </c>
      <c r="G21" s="30" t="n">
        <v>1</v>
      </c>
      <c r="H21" s="32" t="n">
        <f aca="false">G21*F21</f>
        <v>85</v>
      </c>
      <c r="I21" s="33" t="str">
        <f aca="false">IF(A21="","",A21 &amp; " " &amp; B21 &amp; " " &amp; C21 &amp; " " &amp; D21 &amp; " " &amp; E21)</f>
        <v>Laptop HP EliteBook 745-G6 Ryzen 7 PRO 3700 Untested</v>
      </c>
      <c r="J21" s="30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customFormat="false" ht="31.5" hidden="false" customHeight="true" outlineLevel="0" collapsed="false">
      <c r="A22" s="23"/>
      <c r="B22" s="23"/>
      <c r="C22" s="23"/>
      <c r="D22" s="23"/>
      <c r="E22" s="23"/>
      <c r="F22" s="24"/>
      <c r="G22" s="23"/>
      <c r="H22" s="24"/>
      <c r="I22" s="25"/>
      <c r="J22" s="2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31.5" hidden="false" customHeight="true" outlineLevel="0" collapsed="false">
      <c r="A23" s="23" t="s">
        <v>16</v>
      </c>
      <c r="B23" s="23" t="s">
        <v>28</v>
      </c>
      <c r="C23" s="23" t="s">
        <v>44</v>
      </c>
      <c r="D23" s="23" t="s">
        <v>45</v>
      </c>
      <c r="E23" s="23" t="s">
        <v>46</v>
      </c>
      <c r="F23" s="24" t="n">
        <v>30</v>
      </c>
      <c r="G23" s="23" t="n">
        <v>14</v>
      </c>
      <c r="H23" s="24" t="n">
        <f aca="false">G23*F23</f>
        <v>420</v>
      </c>
      <c r="I23" s="25" t="str">
        <f aca="false">IF(A23="","",A23 &amp; " " &amp; B23 &amp; " " &amp; C23 &amp; " " &amp; D23 &amp; " " &amp; E23)</f>
        <v>Laptop Lenovo  X1 Carbon 4th For Parts</v>
      </c>
      <c r="J23" s="2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31.5" hidden="false" customHeight="true" outlineLevel="0" collapsed="false">
      <c r="A24" s="30" t="s">
        <v>16</v>
      </c>
      <c r="B24" s="30" t="s">
        <v>17</v>
      </c>
      <c r="C24" s="30" t="s">
        <v>47</v>
      </c>
      <c r="D24" s="30" t="s">
        <v>24</v>
      </c>
      <c r="E24" s="30" t="s">
        <v>46</v>
      </c>
      <c r="F24" s="32" t="n">
        <v>45</v>
      </c>
      <c r="G24" s="30" t="n">
        <v>1</v>
      </c>
      <c r="H24" s="32" t="n">
        <f aca="false">G24*F24</f>
        <v>45</v>
      </c>
      <c r="I24" s="33" t="str">
        <f aca="false">IF(A24="","",A24 &amp; " " &amp; B24 &amp; " " &amp; C24 &amp; " " &amp; D24 &amp; " " &amp; E24)</f>
        <v>Laptop HP EliteBook 850 G6 7th For Parts</v>
      </c>
      <c r="J24" s="30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customFormat="false" ht="31.5" hidden="false" customHeight="true" outlineLevel="0" collapsed="false">
      <c r="A25" s="23" t="s">
        <v>16</v>
      </c>
      <c r="B25" s="23" t="s">
        <v>17</v>
      </c>
      <c r="C25" s="23" t="s">
        <v>48</v>
      </c>
      <c r="D25" s="23" t="s">
        <v>24</v>
      </c>
      <c r="E25" s="23" t="s">
        <v>46</v>
      </c>
      <c r="F25" s="24" t="n">
        <v>45</v>
      </c>
      <c r="G25" s="23" t="n">
        <v>4</v>
      </c>
      <c r="H25" s="24" t="n">
        <f aca="false">G25*F25</f>
        <v>180</v>
      </c>
      <c r="I25" s="25" t="str">
        <f aca="false">IF(A25="","",A25 &amp; " " &amp; B25 &amp; " " &amp; C25 &amp; " " &amp; D25 &amp; " " &amp; E25)</f>
        <v>Laptop HP EliteBook 830 G5 7th For Parts</v>
      </c>
      <c r="J25" s="2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31.5" hidden="false" customHeight="true" outlineLevel="0" collapsed="false">
      <c r="A26" s="30" t="s">
        <v>16</v>
      </c>
      <c r="B26" s="30" t="s">
        <v>17</v>
      </c>
      <c r="C26" s="30" t="s">
        <v>49</v>
      </c>
      <c r="D26" s="30" t="s">
        <v>24</v>
      </c>
      <c r="E26" s="30" t="s">
        <v>46</v>
      </c>
      <c r="F26" s="32" t="n">
        <v>45</v>
      </c>
      <c r="G26" s="30" t="n">
        <v>1</v>
      </c>
      <c r="H26" s="32" t="n">
        <f aca="false">G26*F26</f>
        <v>45</v>
      </c>
      <c r="I26" s="33" t="str">
        <f aca="false">IF(A26="","",A26 &amp; " " &amp; B26 &amp; " " &amp; C26 &amp; " " &amp; D26 &amp; " " &amp; E26)</f>
        <v>Laptop HP EliteBook 745 G5 7th For Parts</v>
      </c>
      <c r="J26" s="30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customFormat="false" ht="31.5" hidden="false" customHeight="true" outlineLevel="0" collapsed="false">
      <c r="A27" s="23" t="s">
        <v>16</v>
      </c>
      <c r="B27" s="23" t="s">
        <v>17</v>
      </c>
      <c r="C27" s="23" t="s">
        <v>33</v>
      </c>
      <c r="D27" s="23" t="s">
        <v>24</v>
      </c>
      <c r="E27" s="23" t="s">
        <v>46</v>
      </c>
      <c r="F27" s="24" t="n">
        <v>45</v>
      </c>
      <c r="G27" s="23" t="n">
        <v>2</v>
      </c>
      <c r="H27" s="24" t="n">
        <f aca="false">G27*F27</f>
        <v>90</v>
      </c>
      <c r="I27" s="25" t="str">
        <f aca="false">IF(A27="","",A27 &amp; " " &amp; B27 &amp; " " &amp; C27 &amp; " " &amp; D27 &amp; " " &amp; E27)</f>
        <v>Laptop HP EliteBook 840 G4 7th For Parts</v>
      </c>
      <c r="J27" s="23"/>
      <c r="K27" s="15"/>
      <c r="L27" s="1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31.5" hidden="false" customHeight="true" outlineLevel="0" collapsed="false">
      <c r="A28" s="23" t="s">
        <v>16</v>
      </c>
      <c r="B28" s="23" t="s">
        <v>17</v>
      </c>
      <c r="C28" s="23" t="s">
        <v>50</v>
      </c>
      <c r="D28" s="23" t="s">
        <v>32</v>
      </c>
      <c r="E28" s="23" t="s">
        <v>46</v>
      </c>
      <c r="F28" s="24" t="n">
        <v>45</v>
      </c>
      <c r="G28" s="23" t="n">
        <v>2</v>
      </c>
      <c r="H28" s="24" t="n">
        <f aca="false">G28*F28</f>
        <v>90</v>
      </c>
      <c r="I28" s="25" t="str">
        <f aca="false">IF(A28="","",A28 &amp; " " &amp; B28 &amp; " " &amp; C28 &amp; " " &amp; D28 &amp; " " &amp; E28)</f>
        <v>Laptop HP EliteBook 840 G3 6th For Parts</v>
      </c>
      <c r="J28" s="2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31.5" hidden="false" customHeight="true" outlineLevel="0" collapsed="false">
      <c r="A29" s="23" t="s">
        <v>16</v>
      </c>
      <c r="B29" s="23" t="s">
        <v>17</v>
      </c>
      <c r="C29" s="23" t="s">
        <v>37</v>
      </c>
      <c r="D29" s="23" t="s">
        <v>36</v>
      </c>
      <c r="E29" s="23" t="s">
        <v>46</v>
      </c>
      <c r="F29" s="24" t="n">
        <v>50</v>
      </c>
      <c r="G29" s="23" t="n">
        <v>5</v>
      </c>
      <c r="H29" s="24" t="n">
        <f aca="false">G29*F29</f>
        <v>250</v>
      </c>
      <c r="I29" s="25" t="str">
        <f aca="false">IF(A29="","",A29 &amp; " " &amp; B29 &amp; " " &amp; C29 &amp; " " &amp; D29 &amp; " " &amp; E29)</f>
        <v>Laptop HP ProBook 650 G5 i5-8th For Parts</v>
      </c>
      <c r="J29" s="2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31.5" hidden="false" customHeight="true" outlineLevel="0" collapsed="false">
      <c r="A30" s="23" t="s">
        <v>16</v>
      </c>
      <c r="B30" s="23" t="s">
        <v>17</v>
      </c>
      <c r="C30" s="23" t="s">
        <v>51</v>
      </c>
      <c r="D30" s="23" t="s">
        <v>40</v>
      </c>
      <c r="E30" s="23" t="s">
        <v>46</v>
      </c>
      <c r="F30" s="24" t="n">
        <v>55</v>
      </c>
      <c r="G30" s="23" t="n">
        <v>1</v>
      </c>
      <c r="H30" s="24" t="n">
        <f aca="false">G30*F30</f>
        <v>55</v>
      </c>
      <c r="I30" s="25" t="str">
        <f aca="false">IF(A30="","",A30 &amp; " " &amp; B30 &amp; " " &amp; C30 &amp; " " &amp; D30 &amp; " " &amp; E30)</f>
        <v>Laptop HP EliteBook 830 G6 i7-8th For Parts</v>
      </c>
      <c r="J30" s="2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Format="false" ht="31.5" hidden="false" customHeight="true" outlineLevel="0" collapsed="false">
      <c r="A31" s="30" t="s">
        <v>16</v>
      </c>
      <c r="B31" s="30" t="s">
        <v>17</v>
      </c>
      <c r="C31" s="30" t="s">
        <v>41</v>
      </c>
      <c r="D31" s="30" t="s">
        <v>40</v>
      </c>
      <c r="E31" s="30" t="s">
        <v>46</v>
      </c>
      <c r="F31" s="32" t="n">
        <v>55</v>
      </c>
      <c r="G31" s="30" t="n">
        <v>1</v>
      </c>
      <c r="H31" s="32" t="n">
        <f aca="false">G31*F31</f>
        <v>55</v>
      </c>
      <c r="I31" s="33" t="str">
        <f aca="false">IF(A31="","",A31 &amp; " " &amp; B31 &amp; " " &amp; C31 &amp; " " &amp; D31 &amp; " " &amp; E31)</f>
        <v>Laptop HP ProBook 650 G4 i7-8th For Parts</v>
      </c>
      <c r="J31" s="30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customFormat="false" ht="31.5" hidden="false" customHeight="true" outlineLevel="0" collapsed="false">
      <c r="A32" s="23" t="s">
        <v>16</v>
      </c>
      <c r="B32" s="23" t="s">
        <v>17</v>
      </c>
      <c r="C32" s="23" t="s">
        <v>48</v>
      </c>
      <c r="D32" s="23" t="s">
        <v>40</v>
      </c>
      <c r="E32" s="23" t="s">
        <v>46</v>
      </c>
      <c r="F32" s="24" t="n">
        <v>55</v>
      </c>
      <c r="G32" s="23" t="n">
        <v>1</v>
      </c>
      <c r="H32" s="24" t="n">
        <f aca="false">G32*F32</f>
        <v>55</v>
      </c>
      <c r="I32" s="25" t="str">
        <f aca="false">IF(A32="","",A32 &amp; " " &amp; B32 &amp; " " &amp; C32 &amp; " " &amp; D32 &amp; " " &amp; E32)</f>
        <v>Laptop HP EliteBook 830 G5 i7-8th For Parts</v>
      </c>
      <c r="J32" s="2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31.5" hidden="false" customHeight="true" outlineLevel="0" collapsed="false">
      <c r="A33" s="30" t="s">
        <v>16</v>
      </c>
      <c r="B33" s="30" t="s">
        <v>17</v>
      </c>
      <c r="C33" s="30" t="s">
        <v>52</v>
      </c>
      <c r="D33" s="30" t="s">
        <v>36</v>
      </c>
      <c r="E33" s="30" t="s">
        <v>46</v>
      </c>
      <c r="F33" s="32" t="n">
        <v>75</v>
      </c>
      <c r="G33" s="30" t="n">
        <v>1</v>
      </c>
      <c r="H33" s="32" t="n">
        <f aca="false">G33*F33</f>
        <v>75</v>
      </c>
      <c r="I33" s="33" t="str">
        <f aca="false">IF(A33="","",A33 &amp; " " &amp; B33 &amp; " " &amp; C33 &amp; " " &amp; D33 &amp; " " &amp; E33)</f>
        <v>Laptop HP Envy 360 i5-8th For Parts</v>
      </c>
      <c r="J33" s="30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customFormat="false" ht="31.5" hidden="false" customHeight="true" outlineLevel="0" collapsed="false">
      <c r="A34" s="23"/>
      <c r="B34" s="23"/>
      <c r="C34" s="23"/>
      <c r="D34" s="23"/>
      <c r="E34" s="23"/>
      <c r="F34" s="24"/>
      <c r="G34" s="23"/>
      <c r="H34" s="24"/>
      <c r="I34" s="25"/>
      <c r="J34" s="2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31.5" hidden="false" customHeight="true" outlineLevel="0" collapsed="false">
      <c r="A35" s="23"/>
      <c r="B35" s="23"/>
      <c r="C35" s="23"/>
      <c r="D35" s="23"/>
      <c r="E35" s="23"/>
      <c r="F35" s="24"/>
      <c r="G35" s="23"/>
      <c r="H35" s="24"/>
      <c r="I35" s="25"/>
      <c r="J35" s="2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31.5" hidden="false" customHeight="true" outlineLevel="0" collapsed="false">
      <c r="A36" s="23"/>
      <c r="B36" s="23"/>
      <c r="C36" s="23"/>
      <c r="D36" s="23"/>
      <c r="E36" s="23"/>
      <c r="F36" s="24"/>
      <c r="G36" s="23"/>
      <c r="H36" s="24"/>
      <c r="I36" s="25"/>
      <c r="J36" s="2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31.5" hidden="false" customHeight="true" outlineLevel="0" collapsed="false">
      <c r="A37" s="23"/>
      <c r="B37" s="26" t="s">
        <v>13</v>
      </c>
      <c r="C37" s="23"/>
      <c r="D37" s="23"/>
      <c r="E37" s="23"/>
      <c r="F37" s="24"/>
      <c r="G37" s="23" t="n">
        <f aca="false">SUM(G10:G36)</f>
        <v>90</v>
      </c>
      <c r="H37" s="24" t="n">
        <f aca="false">SUM(H10:H36)</f>
        <v>3890</v>
      </c>
      <c r="I37" s="23"/>
      <c r="J37" s="2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</sheetData>
  <mergeCells count="5">
    <mergeCell ref="A1:H2"/>
    <mergeCell ref="B3:C3"/>
    <mergeCell ref="B4:C4"/>
    <mergeCell ref="B5:C5"/>
    <mergeCell ref="E5:F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true"/>
  </sheetPr>
  <dimension ref="A1:A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false" hidden="true" outlineLevel="0" max="5" min="4" style="0" width="12.63"/>
    <col collapsed="false" customWidth="true" hidden="false" outlineLevel="0" max="10" min="10" style="0" width="37.13"/>
    <col collapsed="false" customWidth="false" hidden="true" outlineLevel="0" max="11" min="11" style="0" width="12.63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8.55" hidden="false" customHeight="false" outlineLevel="0" collapsed="false">
      <c r="A3" s="3" t="s">
        <v>1</v>
      </c>
      <c r="B3" s="4" t="s">
        <v>53</v>
      </c>
      <c r="C3" s="4"/>
      <c r="D3" s="5"/>
      <c r="E3" s="2"/>
      <c r="F3" s="2"/>
      <c r="G3" s="6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8.55" hidden="false" customHeight="false" outlineLevel="0" collapsed="false">
      <c r="A4" s="3" t="s">
        <v>3</v>
      </c>
      <c r="B4" s="9" t="n">
        <v>46091</v>
      </c>
      <c r="C4" s="9"/>
      <c r="D4" s="10"/>
      <c r="E4" s="2"/>
      <c r="F4" s="2"/>
      <c r="G4" s="6"/>
      <c r="H4" s="7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8.55" hidden="false" customHeight="false" outlineLevel="0" collapsed="false">
      <c r="A5" s="3" t="s">
        <v>4</v>
      </c>
      <c r="B5" s="4"/>
      <c r="C5" s="4"/>
      <c r="D5" s="5"/>
      <c r="E5" s="2"/>
      <c r="F5" s="11"/>
      <c r="G5" s="11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6"/>
      <c r="H6" s="7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.75" hidden="false" customHeight="false" outlineLevel="0" collapsed="false">
      <c r="A7" s="12"/>
      <c r="B7" s="12"/>
      <c r="C7" s="12"/>
      <c r="D7" s="12"/>
      <c r="E7" s="12"/>
      <c r="F7" s="12"/>
      <c r="G7" s="13"/>
      <c r="H7" s="14"/>
      <c r="I7" s="15"/>
      <c r="J7" s="12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30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8" t="s">
        <v>11</v>
      </c>
      <c r="H8" s="19" t="s">
        <v>12</v>
      </c>
      <c r="I8" s="20" t="s">
        <v>13</v>
      </c>
      <c r="J8" s="21" t="s">
        <v>26</v>
      </c>
      <c r="K8" s="21" t="s">
        <v>15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customFormat="false" ht="31.5" hidden="false" customHeight="true" outlineLevel="0" collapsed="false">
      <c r="A9" s="23"/>
      <c r="B9" s="23"/>
      <c r="C9" s="23"/>
      <c r="D9" s="23"/>
      <c r="E9" s="23"/>
      <c r="F9" s="23"/>
      <c r="G9" s="24"/>
      <c r="H9" s="23"/>
      <c r="I9" s="25"/>
      <c r="J9" s="25" t="str">
        <f aca="false">IF(A9="","",A9 &amp; " " &amp; B9 &amp; " " &amp; C9 &amp; " " &amp; D9 &amp; " " &amp; E9 &amp; " " &amp; F9)</f>
        <v/>
      </c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31.5" hidden="false" customHeight="true" outlineLevel="0" collapsed="false">
      <c r="A10" s="23" t="s">
        <v>54</v>
      </c>
      <c r="B10" s="23" t="s">
        <v>55</v>
      </c>
      <c r="C10" s="23" t="s">
        <v>56</v>
      </c>
      <c r="D10" s="23"/>
      <c r="E10" s="23"/>
      <c r="F10" s="23" t="s">
        <v>21</v>
      </c>
      <c r="G10" s="24" t="n">
        <v>80</v>
      </c>
      <c r="H10" s="23" t="n">
        <v>1</v>
      </c>
      <c r="I10" s="25" t="n">
        <f aca="false">G10*H10</f>
        <v>80</v>
      </c>
      <c r="J10" s="25" t="str">
        <f aca="false">IF(A10="","",A10 &amp; " " &amp; B10 &amp; " " &amp; C10 &amp; " " &amp; E10 &amp; " " &amp; F10)</f>
        <v>Gaming Console Nintendo GameCube  Untested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31.5" hidden="false" customHeight="true" outlineLevel="0" collapsed="false">
      <c r="A11" s="23" t="s">
        <v>57</v>
      </c>
      <c r="B11" s="23" t="s">
        <v>58</v>
      </c>
      <c r="C11" s="23" t="s">
        <v>59</v>
      </c>
      <c r="D11" s="23"/>
      <c r="E11" s="23"/>
      <c r="F11" s="23" t="s">
        <v>21</v>
      </c>
      <c r="G11" s="24" t="n">
        <v>27</v>
      </c>
      <c r="H11" s="23" t="n">
        <v>2</v>
      </c>
      <c r="I11" s="25" t="n">
        <f aca="false">G11*H11</f>
        <v>54</v>
      </c>
      <c r="J11" s="25" t="str">
        <f aca="false">IF(A11="","",A11 &amp; " " &amp; B11 &amp; " " &amp; C11 &amp; " " &amp; E11 &amp; " " &amp; F11)</f>
        <v>Gaming controller  Nintendo  GameCube   Untested</v>
      </c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31.5" hidden="true" customHeight="true" outlineLevel="0" collapsed="false">
      <c r="A12" s="23"/>
      <c r="B12" s="23"/>
      <c r="C12" s="23"/>
      <c r="D12" s="23"/>
      <c r="E12" s="23"/>
      <c r="F12" s="23"/>
      <c r="G12" s="24"/>
      <c r="H12" s="23"/>
      <c r="I12" s="25"/>
      <c r="J12" s="25" t="str">
        <f aca="false">IF(A12="","",A12 &amp; " " &amp; B12 &amp; " " &amp; C12 &amp; " " &amp; E12 &amp; " " &amp; F12)</f>
        <v/>
      </c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31.5" hidden="true" customHeight="true" outlineLevel="0" collapsed="false">
      <c r="A13" s="23"/>
      <c r="B13" s="23"/>
      <c r="C13" s="23"/>
      <c r="D13" s="23"/>
      <c r="E13" s="23"/>
      <c r="F13" s="23"/>
      <c r="G13" s="24"/>
      <c r="H13" s="23"/>
      <c r="I13" s="25"/>
      <c r="J13" s="25" t="str">
        <f aca="false">IF(A13="","",A13 &amp; " " &amp; B13 &amp; " " &amp; C13 &amp; " " &amp; E13 &amp; " " &amp; F13)</f>
        <v/>
      </c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31.5" hidden="true" customHeight="true" outlineLevel="0" collapsed="false">
      <c r="A14" s="23"/>
      <c r="B14" s="23"/>
      <c r="C14" s="23"/>
      <c r="D14" s="23"/>
      <c r="E14" s="23"/>
      <c r="F14" s="23"/>
      <c r="G14" s="24"/>
      <c r="H14" s="23"/>
      <c r="I14" s="25"/>
      <c r="J14" s="25" t="str">
        <f aca="false">IF(A14="","",A14 &amp; " " &amp; B14 &amp; " " &amp; C14 &amp; " " &amp; E14 &amp; " " &amp; F14)</f>
        <v/>
      </c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31.5" hidden="true" customHeight="true" outlineLevel="0" collapsed="false">
      <c r="A15" s="23"/>
      <c r="B15" s="23"/>
      <c r="C15" s="23"/>
      <c r="D15" s="23"/>
      <c r="E15" s="23"/>
      <c r="F15" s="23"/>
      <c r="G15" s="24"/>
      <c r="H15" s="23"/>
      <c r="I15" s="25"/>
      <c r="J15" s="25" t="str">
        <f aca="false">IF(A15="","",A15 &amp; " " &amp; B15 &amp; " " &amp; C15 &amp; " " &amp; E15 &amp; " " &amp; F15)</f>
        <v/>
      </c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31.5" hidden="true" customHeight="true" outlineLevel="0" collapsed="false">
      <c r="A16" s="23"/>
      <c r="B16" s="23"/>
      <c r="C16" s="23"/>
      <c r="D16" s="23"/>
      <c r="E16" s="23"/>
      <c r="F16" s="23"/>
      <c r="G16" s="24"/>
      <c r="H16" s="23"/>
      <c r="I16" s="25"/>
      <c r="J16" s="25" t="str">
        <f aca="false">IF(A16="","",A16 &amp; " " &amp; B16 &amp; " " &amp; C16 &amp; " " &amp; E16 &amp; " " &amp; F16)</f>
        <v/>
      </c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31.5" hidden="true" customHeight="true" outlineLevel="0" collapsed="false">
      <c r="A17" s="23"/>
      <c r="B17" s="23"/>
      <c r="C17" s="23"/>
      <c r="D17" s="23"/>
      <c r="E17" s="23"/>
      <c r="F17" s="23"/>
      <c r="G17" s="24"/>
      <c r="H17" s="23"/>
      <c r="I17" s="25"/>
      <c r="J17" s="25" t="str">
        <f aca="false">IF(A17="","",A17 &amp; " " &amp; B17 &amp; " " &amp; C17 &amp; " " &amp; E17 &amp; " " &amp; F17)</f>
        <v/>
      </c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31.5" hidden="true" customHeight="true" outlineLevel="0" collapsed="false">
      <c r="A18" s="23"/>
      <c r="B18" s="23"/>
      <c r="C18" s="23"/>
      <c r="D18" s="23"/>
      <c r="E18" s="23"/>
      <c r="F18" s="23"/>
      <c r="G18" s="24"/>
      <c r="H18" s="23"/>
      <c r="I18" s="25"/>
      <c r="J18" s="25" t="str">
        <f aca="false">IF(A18="","",A18 &amp; " " &amp; B18 &amp; " " &amp; C18 &amp; " " &amp; E18 &amp; " " &amp; F18)</f>
        <v/>
      </c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31.5" hidden="true" customHeight="true" outlineLevel="0" collapsed="false">
      <c r="A19" s="23"/>
      <c r="B19" s="23"/>
      <c r="C19" s="23"/>
      <c r="D19" s="23"/>
      <c r="E19" s="23"/>
      <c r="F19" s="23"/>
      <c r="G19" s="24"/>
      <c r="H19" s="23"/>
      <c r="I19" s="25"/>
      <c r="J19" s="25" t="str">
        <f aca="false">IF(A19="","",A19 &amp; " " &amp; B19 &amp; " " &amp; C19 &amp; " " &amp; E19 &amp; " " &amp; F19)</f>
        <v/>
      </c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31.5" hidden="true" customHeight="true" outlineLevel="0" collapsed="false">
      <c r="A20" s="23"/>
      <c r="B20" s="23"/>
      <c r="C20" s="23"/>
      <c r="D20" s="23"/>
      <c r="E20" s="23"/>
      <c r="F20" s="23"/>
      <c r="G20" s="24"/>
      <c r="H20" s="23"/>
      <c r="I20" s="25"/>
      <c r="J20" s="25" t="str">
        <f aca="false">IF(A20="","",A20 &amp; " " &amp; B20 &amp; " " &amp; C20 &amp; " " &amp; E20 &amp; " " &amp; F20)</f>
        <v/>
      </c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31.5" hidden="true" customHeight="true" outlineLevel="0" collapsed="false">
      <c r="A21" s="23"/>
      <c r="B21" s="23"/>
      <c r="C21" s="23"/>
      <c r="D21" s="23"/>
      <c r="E21" s="23"/>
      <c r="F21" s="23"/>
      <c r="G21" s="24"/>
      <c r="H21" s="23"/>
      <c r="I21" s="25"/>
      <c r="J21" s="25" t="str">
        <f aca="false">IF(A21="","",A21 &amp; " " &amp; B21 &amp; " " &amp; C21 &amp; " " &amp; E21 &amp; " " &amp; F21)</f>
        <v/>
      </c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31.5" hidden="true" customHeight="true" outlineLevel="0" collapsed="false">
      <c r="A22" s="23"/>
      <c r="B22" s="23"/>
      <c r="C22" s="23"/>
      <c r="D22" s="23"/>
      <c r="E22" s="23"/>
      <c r="F22" s="23"/>
      <c r="G22" s="24"/>
      <c r="H22" s="23"/>
      <c r="I22" s="25"/>
      <c r="J22" s="25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31.5" hidden="true" customHeight="true" outlineLevel="0" collapsed="false">
      <c r="A23" s="23"/>
      <c r="B23" s="23"/>
      <c r="C23" s="23"/>
      <c r="D23" s="23"/>
      <c r="E23" s="23"/>
      <c r="F23" s="23"/>
      <c r="G23" s="24"/>
      <c r="H23" s="23"/>
      <c r="I23" s="25"/>
      <c r="J23" s="25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31.5" hidden="true" customHeight="true" outlineLevel="0" collapsed="false">
      <c r="A24" s="23"/>
      <c r="B24" s="23"/>
      <c r="C24" s="23"/>
      <c r="D24" s="23"/>
      <c r="E24" s="23"/>
      <c r="F24" s="23"/>
      <c r="G24" s="24"/>
      <c r="H24" s="23"/>
      <c r="I24" s="25"/>
      <c r="J24" s="25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31.5" hidden="true" customHeight="true" outlineLevel="0" collapsed="false">
      <c r="A25" s="23"/>
      <c r="B25" s="23"/>
      <c r="C25" s="27"/>
      <c r="D25" s="23"/>
      <c r="E25" s="23"/>
      <c r="F25" s="23"/>
      <c r="G25" s="24"/>
      <c r="H25" s="23"/>
      <c r="I25" s="25"/>
      <c r="J25" s="25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31.5" hidden="true" customHeight="true" outlineLevel="0" collapsed="false">
      <c r="A26" s="23"/>
      <c r="B26" s="23"/>
      <c r="C26" s="23"/>
      <c r="D26" s="23"/>
      <c r="E26" s="23"/>
      <c r="F26" s="23"/>
      <c r="G26" s="24"/>
      <c r="H26" s="23"/>
      <c r="I26" s="25"/>
      <c r="J26" s="25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31.5" hidden="false" customHeight="true" outlineLevel="0" collapsed="false">
      <c r="A27" s="23"/>
      <c r="B27" s="26" t="s">
        <v>13</v>
      </c>
      <c r="C27" s="23"/>
      <c r="D27" s="23"/>
      <c r="E27" s="23"/>
      <c r="F27" s="23"/>
      <c r="G27" s="24"/>
      <c r="H27" s="23" t="n">
        <f aca="false">SUM(H5:H11)</f>
        <v>3</v>
      </c>
      <c r="I27" s="25" t="n">
        <f aca="false">SUM(I9:I11)</f>
        <v>134</v>
      </c>
      <c r="J27" s="2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</sheetData>
  <mergeCells count="5">
    <mergeCell ref="A1:I2"/>
    <mergeCell ref="B3:C3"/>
    <mergeCell ref="B4:C4"/>
    <mergeCell ref="B5:C5"/>
    <mergeCell ref="F5:G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10" min="10" style="0" width="3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8.55" hidden="false" customHeight="false" outlineLevel="0" collapsed="false">
      <c r="A3" s="3" t="s">
        <v>1</v>
      </c>
      <c r="B3" s="4" t="s">
        <v>60</v>
      </c>
      <c r="C3" s="4"/>
      <c r="D3" s="5"/>
      <c r="E3" s="2"/>
      <c r="F3" s="2"/>
      <c r="G3" s="6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.55" hidden="false" customHeight="false" outlineLevel="0" collapsed="false">
      <c r="A4" s="3" t="s">
        <v>3</v>
      </c>
      <c r="B4" s="9" t="n">
        <v>46091</v>
      </c>
      <c r="C4" s="9"/>
      <c r="D4" s="10"/>
      <c r="E4" s="2"/>
      <c r="F4" s="2"/>
      <c r="G4" s="6"/>
      <c r="H4" s="7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8.55" hidden="false" customHeight="false" outlineLevel="0" collapsed="false">
      <c r="A5" s="3" t="s">
        <v>4</v>
      </c>
      <c r="B5" s="4" t="n">
        <v>3</v>
      </c>
      <c r="C5" s="4"/>
      <c r="D5" s="5"/>
      <c r="E5" s="2"/>
      <c r="F5" s="11"/>
      <c r="G5" s="11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6"/>
      <c r="H6" s="7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2"/>
      <c r="B7" s="12"/>
      <c r="C7" s="12"/>
      <c r="D7" s="12"/>
      <c r="E7" s="12"/>
      <c r="F7" s="12"/>
      <c r="G7" s="13"/>
      <c r="H7" s="14"/>
      <c r="I7" s="15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8" t="s">
        <v>11</v>
      </c>
      <c r="H8" s="19" t="s">
        <v>12</v>
      </c>
      <c r="I8" s="20" t="s">
        <v>13</v>
      </c>
      <c r="J8" s="21" t="s">
        <v>26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31.5" hidden="false" customHeight="true" outlineLevel="0" collapsed="false">
      <c r="A9" s="35"/>
      <c r="B9" s="36"/>
      <c r="C9" s="36"/>
      <c r="D9" s="36"/>
      <c r="E9" s="36"/>
      <c r="F9" s="36"/>
      <c r="G9" s="37"/>
      <c r="H9" s="36"/>
      <c r="I9" s="36"/>
      <c r="J9" s="3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1.5" hidden="false" customHeight="true" outlineLevel="0" collapsed="false">
      <c r="A10" s="23" t="s">
        <v>16</v>
      </c>
      <c r="B10" s="23" t="s">
        <v>17</v>
      </c>
      <c r="C10" s="23" t="s">
        <v>61</v>
      </c>
      <c r="D10" s="23" t="s">
        <v>62</v>
      </c>
      <c r="E10" s="23" t="s">
        <v>63</v>
      </c>
      <c r="F10" s="23" t="s">
        <v>21</v>
      </c>
      <c r="G10" s="24" t="n">
        <v>35</v>
      </c>
      <c r="H10" s="23" t="n">
        <v>1</v>
      </c>
      <c r="I10" s="25" t="n">
        <f aca="false">G10*H10</f>
        <v>35</v>
      </c>
      <c r="J10" s="25" t="str">
        <f aca="false">IF(A10="","",A10 &amp; " " &amp; B10 &amp; " " &amp; C10 &amp; " " &amp; D10 &amp; " " &amp; E10 &amp; " " &amp; F10)</f>
        <v>Laptop HP EliteBook 840 G2 5th Untested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1.5" hidden="false" customHeight="true" outlineLevel="0" collapsed="false">
      <c r="A11" s="23" t="s">
        <v>16</v>
      </c>
      <c r="B11" s="23" t="s">
        <v>17</v>
      </c>
      <c r="C11" s="23" t="s">
        <v>61</v>
      </c>
      <c r="D11" s="23" t="s">
        <v>64</v>
      </c>
      <c r="E11" s="23" t="s">
        <v>32</v>
      </c>
      <c r="F11" s="23" t="s">
        <v>21</v>
      </c>
      <c r="G11" s="24" t="n">
        <v>55</v>
      </c>
      <c r="H11" s="23" t="n">
        <v>9</v>
      </c>
      <c r="I11" s="25" t="n">
        <f aca="false">G11*H11</f>
        <v>495</v>
      </c>
      <c r="J11" s="25" t="str">
        <f aca="false">IF(A11="","",A11 &amp; " " &amp; B11 &amp; " " &amp; C11 &amp; " " &amp; D11 &amp; " " &amp; E11 &amp; " " &amp; F11)</f>
        <v>Laptop HP EliteBook 840 G3 6th Untested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1.5" hidden="false" customHeight="true" outlineLevel="0" collapsed="false">
      <c r="A12" s="23" t="s">
        <v>16</v>
      </c>
      <c r="B12" s="23" t="s">
        <v>17</v>
      </c>
      <c r="C12" s="23" t="s">
        <v>61</v>
      </c>
      <c r="D12" s="23" t="s">
        <v>65</v>
      </c>
      <c r="E12" s="23" t="s">
        <v>24</v>
      </c>
      <c r="F12" s="23" t="s">
        <v>21</v>
      </c>
      <c r="G12" s="24" t="n">
        <v>55</v>
      </c>
      <c r="H12" s="23" t="n">
        <v>3</v>
      </c>
      <c r="I12" s="25" t="n">
        <f aca="false">G12*H12</f>
        <v>165</v>
      </c>
      <c r="J12" s="25" t="str">
        <f aca="false">IF(A12="","",A12 &amp; " " &amp; B12 &amp; " " &amp; C12 &amp; " " &amp; D12 &amp; " " &amp; E12 &amp; " " &amp; F12)</f>
        <v>Laptop HP EliteBook 840 G4 7th Untested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1.5" hidden="false" customHeight="true" outlineLevel="0" collapsed="false">
      <c r="A13" s="23" t="s">
        <v>16</v>
      </c>
      <c r="B13" s="23" t="s">
        <v>17</v>
      </c>
      <c r="C13" s="23" t="s">
        <v>66</v>
      </c>
      <c r="D13" s="23" t="s">
        <v>67</v>
      </c>
      <c r="E13" s="23" t="s">
        <v>32</v>
      </c>
      <c r="F13" s="23" t="s">
        <v>21</v>
      </c>
      <c r="G13" s="24" t="n">
        <v>55</v>
      </c>
      <c r="H13" s="23" t="n">
        <v>11</v>
      </c>
      <c r="I13" s="25" t="n">
        <f aca="false">G13*H13</f>
        <v>605</v>
      </c>
      <c r="J13" s="25" t="str">
        <f aca="false">IF(A13="","",A13 &amp; " " &amp; B13 &amp; " " &amp; C13 &amp; " " &amp; D13 &amp; " " &amp; E13 &amp; " " &amp; F13)</f>
        <v>Laptop HP ProBook 650 G2 6th Untested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1.5" hidden="false" customHeight="true" outlineLevel="0" collapsed="false">
      <c r="A14" s="23" t="s">
        <v>16</v>
      </c>
      <c r="B14" s="23" t="s">
        <v>17</v>
      </c>
      <c r="C14" s="23" t="s">
        <v>66</v>
      </c>
      <c r="D14" s="23" t="s">
        <v>68</v>
      </c>
      <c r="E14" s="23" t="s">
        <v>24</v>
      </c>
      <c r="F14" s="23" t="s">
        <v>21</v>
      </c>
      <c r="G14" s="24" t="n">
        <v>55</v>
      </c>
      <c r="H14" s="23" t="n">
        <v>4</v>
      </c>
      <c r="I14" s="25" t="n">
        <f aca="false">G14*H14</f>
        <v>220</v>
      </c>
      <c r="J14" s="25" t="str">
        <f aca="false">IF(A14="","",A14 &amp; " " &amp; B14 &amp; " " &amp; C14 &amp; " " &amp; D14 &amp; " " &amp; E14 &amp; " " &amp; F14)</f>
        <v>Laptop HP ProBook 650 G3 7th Untested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1.5" hidden="false" customHeight="true" outlineLevel="0" collapsed="false">
      <c r="A15" s="23"/>
      <c r="B15" s="23"/>
      <c r="C15" s="23"/>
      <c r="D15" s="23"/>
      <c r="E15" s="23"/>
      <c r="F15" s="23"/>
      <c r="G15" s="24"/>
      <c r="H15" s="23"/>
      <c r="I15" s="25"/>
      <c r="J15" s="2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1.5" hidden="false" customHeight="true" outlineLevel="0" collapsed="false">
      <c r="A16" s="23" t="s">
        <v>16</v>
      </c>
      <c r="B16" s="23" t="s">
        <v>17</v>
      </c>
      <c r="C16" s="23" t="s">
        <v>66</v>
      </c>
      <c r="D16" s="23" t="s">
        <v>67</v>
      </c>
      <c r="E16" s="23" t="s">
        <v>32</v>
      </c>
      <c r="F16" s="23" t="s">
        <v>46</v>
      </c>
      <c r="G16" s="24" t="n">
        <v>45</v>
      </c>
      <c r="H16" s="23" t="n">
        <v>3</v>
      </c>
      <c r="I16" s="25" t="n">
        <f aca="false">G16*H16</f>
        <v>135</v>
      </c>
      <c r="J16" s="25" t="str">
        <f aca="false">IF(A16="","",A16 &amp; " " &amp; B16 &amp; " " &amp; C16 &amp; " " &amp; D16 &amp; " " &amp; E16 &amp; " " &amp; F16)</f>
        <v>Laptop HP ProBook 650 G2 6th For Parts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1.5" hidden="false" customHeight="true" outlineLevel="0" collapsed="false">
      <c r="A17" s="23" t="s">
        <v>16</v>
      </c>
      <c r="B17" s="23" t="s">
        <v>17</v>
      </c>
      <c r="C17" s="23" t="s">
        <v>66</v>
      </c>
      <c r="D17" s="23" t="s">
        <v>69</v>
      </c>
      <c r="E17" s="23" t="s">
        <v>32</v>
      </c>
      <c r="F17" s="23" t="s">
        <v>46</v>
      </c>
      <c r="G17" s="24" t="n">
        <v>45</v>
      </c>
      <c r="H17" s="23" t="n">
        <v>3</v>
      </c>
      <c r="I17" s="25" t="n">
        <f aca="false">G17*H17</f>
        <v>135</v>
      </c>
      <c r="J17" s="25" t="str">
        <f aca="false">IF(A17="","",A17 &amp; " " &amp; B17 &amp; " " &amp; C17 &amp; " " &amp; D17 &amp; " " &amp; E17 &amp; " " &amp; F17)</f>
        <v>Laptop HP ProBook 640 G2 6th For Parts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1.5" hidden="false" customHeight="true" outlineLevel="0" collapsed="false">
      <c r="A18" s="23" t="s">
        <v>16</v>
      </c>
      <c r="B18" s="23" t="s">
        <v>17</v>
      </c>
      <c r="C18" s="23" t="s">
        <v>61</v>
      </c>
      <c r="D18" s="23" t="s">
        <v>65</v>
      </c>
      <c r="E18" s="23" t="s">
        <v>24</v>
      </c>
      <c r="F18" s="23" t="s">
        <v>46</v>
      </c>
      <c r="G18" s="24" t="n">
        <v>45</v>
      </c>
      <c r="H18" s="23" t="n">
        <v>3</v>
      </c>
      <c r="I18" s="25" t="n">
        <f aca="false">G18*H18</f>
        <v>135</v>
      </c>
      <c r="J18" s="25" t="str">
        <f aca="false">IF(A18="","",A18 &amp; " " &amp; B18 &amp; " " &amp; C18 &amp; " " &amp; D18 &amp; " " &amp; E18 &amp; " " &amp; F18)</f>
        <v>Laptop HP EliteBook 840 G4 7th For Parts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31.5" hidden="false" customHeight="true" outlineLevel="0" collapsed="false">
      <c r="A19" s="23" t="s">
        <v>16</v>
      </c>
      <c r="B19" s="23" t="s">
        <v>17</v>
      </c>
      <c r="C19" s="23" t="s">
        <v>61</v>
      </c>
      <c r="D19" s="23" t="s">
        <v>64</v>
      </c>
      <c r="E19" s="23" t="s">
        <v>32</v>
      </c>
      <c r="F19" s="23" t="s">
        <v>46</v>
      </c>
      <c r="G19" s="24" t="n">
        <v>45</v>
      </c>
      <c r="H19" s="23" t="n">
        <v>14</v>
      </c>
      <c r="I19" s="25" t="n">
        <f aca="false">G19*H19</f>
        <v>630</v>
      </c>
      <c r="J19" s="25" t="str">
        <f aca="false">IF(A19="","",A19 &amp; " " &amp; B19 &amp; " " &amp; C19 &amp; " " &amp; D19 &amp; " " &amp; E19 &amp; " " &amp; F19)</f>
        <v>Laptop HP EliteBook 840 G3 6th For Parts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1.5" hidden="false" customHeight="true" outlineLevel="0" collapsed="false">
      <c r="A20" s="23" t="s">
        <v>16</v>
      </c>
      <c r="B20" s="23" t="s">
        <v>17</v>
      </c>
      <c r="C20" s="23" t="s">
        <v>61</v>
      </c>
      <c r="D20" s="23" t="s">
        <v>64</v>
      </c>
      <c r="E20" s="23" t="s">
        <v>32</v>
      </c>
      <c r="F20" s="23" t="s">
        <v>46</v>
      </c>
      <c r="G20" s="24" t="n">
        <v>45</v>
      </c>
      <c r="H20" s="23" t="n">
        <v>4</v>
      </c>
      <c r="I20" s="25" t="n">
        <f aca="false">G20*H20</f>
        <v>180</v>
      </c>
      <c r="J20" s="25" t="str">
        <f aca="false">IF(A20="","",A20 &amp; " " &amp; B20 &amp; " " &amp; C20 &amp; " " &amp; D20 &amp; " " &amp; E20 &amp; " " &amp; F20)</f>
        <v>Laptop HP EliteBook 840 G3 6th For Parts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1.5" hidden="false" customHeight="true" outlineLevel="0" collapsed="false">
      <c r="A21" s="23"/>
      <c r="B21" s="23"/>
      <c r="C21" s="23"/>
      <c r="D21" s="23"/>
      <c r="E21" s="23"/>
      <c r="F21" s="23"/>
      <c r="G21" s="24"/>
      <c r="H21" s="23"/>
      <c r="I21" s="25"/>
      <c r="J21" s="2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1.5" hidden="false" customHeight="true" outlineLevel="0" collapsed="false">
      <c r="A22" s="23"/>
      <c r="B22" s="26" t="s">
        <v>13</v>
      </c>
      <c r="C22" s="23"/>
      <c r="D22" s="23"/>
      <c r="E22" s="23"/>
      <c r="F22" s="23"/>
      <c r="G22" s="24"/>
      <c r="H22" s="23" t="n">
        <f aca="false">SUM(H10:H20)</f>
        <v>55</v>
      </c>
      <c r="I22" s="25" t="n">
        <f aca="false">SUM(I10:I20)</f>
        <v>2735</v>
      </c>
      <c r="J22" s="2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</sheetData>
  <mergeCells count="5">
    <mergeCell ref="A1:I2"/>
    <mergeCell ref="B3:C3"/>
    <mergeCell ref="B4:C4"/>
    <mergeCell ref="B5:C5"/>
    <mergeCell ref="F5:G5"/>
  </mergeCells>
  <printOptions headings="false" gridLines="true" gridLinesSet="true" horizontalCentered="true" verticalCentered="false"/>
  <pageMargins left="0.25" right="0.25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FF"/>
    <outlinePr summaryBelow="0"/>
    <pageSetUpPr fitToPage="tru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9" min="9" style="0" width="20.38"/>
    <col collapsed="false" customWidth="true" hidden="false" outlineLevel="0" max="10" min="10" style="0" width="34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8.55" hidden="false" customHeight="false" outlineLevel="0" collapsed="false">
      <c r="A3" s="3" t="s">
        <v>1</v>
      </c>
      <c r="B3" s="4" t="s">
        <v>60</v>
      </c>
      <c r="C3" s="4"/>
      <c r="D3" s="5"/>
      <c r="E3" s="2"/>
      <c r="F3" s="2"/>
      <c r="G3" s="6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.55" hidden="false" customHeight="false" outlineLevel="0" collapsed="false">
      <c r="A4" s="3" t="s">
        <v>3</v>
      </c>
      <c r="B4" s="9" t="n">
        <v>46091</v>
      </c>
      <c r="C4" s="9"/>
      <c r="D4" s="10"/>
      <c r="E4" s="2"/>
      <c r="F4" s="2"/>
      <c r="G4" s="6"/>
      <c r="H4" s="7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8.55" hidden="false" customHeight="false" outlineLevel="0" collapsed="false">
      <c r="A5" s="3" t="s">
        <v>4</v>
      </c>
      <c r="B5" s="4" t="s">
        <v>70</v>
      </c>
      <c r="C5" s="4"/>
      <c r="D5" s="5"/>
      <c r="E5" s="2"/>
      <c r="F5" s="11"/>
      <c r="G5" s="11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6"/>
      <c r="H6" s="7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2"/>
      <c r="B7" s="12"/>
      <c r="C7" s="12"/>
      <c r="D7" s="12"/>
      <c r="E7" s="12"/>
      <c r="F7" s="12"/>
      <c r="G7" s="13"/>
      <c r="H7" s="14"/>
      <c r="I7" s="15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8.25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8" t="s">
        <v>11</v>
      </c>
      <c r="H8" s="19" t="s">
        <v>12</v>
      </c>
      <c r="I8" s="20" t="s">
        <v>13</v>
      </c>
      <c r="J8" s="21" t="s">
        <v>26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31.5" hidden="false" customHeight="true" outlineLevel="0" collapsed="false">
      <c r="A9" s="23"/>
      <c r="B9" s="23"/>
      <c r="C9" s="23"/>
      <c r="D9" s="23"/>
      <c r="E9" s="23"/>
      <c r="F9" s="23"/>
      <c r="G9" s="24"/>
      <c r="H9" s="23"/>
      <c r="I9" s="25"/>
      <c r="J9" s="25" t="str">
        <f aca="false">IF(A9="","",A9 &amp; " " &amp; B9 &amp; " " &amp; C9 &amp; " " &amp; D9 &amp; " " &amp; E9 &amp; " " &amp; F9)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1.5" hidden="false" customHeight="true" outlineLevel="0" collapsed="false">
      <c r="A10" s="23" t="s">
        <v>16</v>
      </c>
      <c r="B10" s="23" t="s">
        <v>17</v>
      </c>
      <c r="C10" s="23" t="s">
        <v>71</v>
      </c>
      <c r="D10" s="23" t="s">
        <v>72</v>
      </c>
      <c r="E10" s="23" t="s">
        <v>73</v>
      </c>
      <c r="F10" s="23" t="s">
        <v>21</v>
      </c>
      <c r="G10" s="24" t="n">
        <v>30</v>
      </c>
      <c r="H10" s="23" t="n">
        <v>244</v>
      </c>
      <c r="I10" s="25" t="n">
        <f aca="false">G10*H10</f>
        <v>7320</v>
      </c>
      <c r="J10" s="25" t="str">
        <f aca="false">IF(A10="","",A10 &amp; " " &amp; B10 &amp; " " &amp; C10 &amp; " " &amp; D10 &amp; " " &amp; E10 &amp; " " &amp; F10)</f>
        <v>Laptop HP 450 G1 G2 i3 4th-5th Untested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1.5" hidden="false" customHeight="true" outlineLevel="0" collapsed="false">
      <c r="A11" s="23" t="s">
        <v>16</v>
      </c>
      <c r="B11" s="23" t="s">
        <v>17</v>
      </c>
      <c r="C11" s="23" t="s">
        <v>74</v>
      </c>
      <c r="D11" s="23" t="s">
        <v>75</v>
      </c>
      <c r="E11" s="23" t="s">
        <v>24</v>
      </c>
      <c r="F11" s="23" t="s">
        <v>21</v>
      </c>
      <c r="G11" s="24" t="n">
        <v>55</v>
      </c>
      <c r="H11" s="23" t="n">
        <v>127</v>
      </c>
      <c r="I11" s="25" t="n">
        <f aca="false">G11*H11</f>
        <v>6985</v>
      </c>
      <c r="J11" s="25" t="str">
        <f aca="false">IF(A11="","",A11 &amp; " " &amp; B11 &amp; " " &amp; C11 &amp; " " &amp; D11 &amp; " " &amp; E11 &amp; " " &amp; F11)</f>
        <v>Laptop HP 640 G3 i5 7th Untested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1.5" hidden="false" customHeight="true" outlineLevel="0" collapsed="false">
      <c r="A12" s="23" t="s">
        <v>16</v>
      </c>
      <c r="B12" s="23" t="s">
        <v>17</v>
      </c>
      <c r="C12" s="23" t="s">
        <v>76</v>
      </c>
      <c r="D12" s="23" t="s">
        <v>75</v>
      </c>
      <c r="E12" s="23" t="s">
        <v>45</v>
      </c>
      <c r="F12" s="23" t="s">
        <v>21</v>
      </c>
      <c r="G12" s="24" t="n">
        <v>35</v>
      </c>
      <c r="H12" s="23" t="n">
        <v>216</v>
      </c>
      <c r="I12" s="25" t="n">
        <f aca="false">G12*H12</f>
        <v>7560</v>
      </c>
      <c r="J12" s="25" t="str">
        <f aca="false">IF(A12="","",A12 &amp; " " &amp; B12 &amp; " " &amp; C12 &amp; " " &amp; D12 &amp; " " &amp; E12 &amp; " " &amp; F12)</f>
        <v>Laptop HP 640 G1 i5 4th Untested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1.5" hidden="false" customHeight="true" outlineLevel="0" collapsed="false">
      <c r="A13" s="23"/>
      <c r="B13" s="23"/>
      <c r="C13" s="23"/>
      <c r="D13" s="23"/>
      <c r="E13" s="23"/>
      <c r="F13" s="23"/>
      <c r="G13" s="24"/>
      <c r="H13" s="23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1.5" hidden="false" customHeight="true" outlineLevel="0" collapsed="false">
      <c r="A14" s="23"/>
      <c r="B14" s="26" t="s">
        <v>13</v>
      </c>
      <c r="C14" s="23"/>
      <c r="D14" s="23"/>
      <c r="E14" s="23"/>
      <c r="F14" s="23"/>
      <c r="G14" s="24"/>
      <c r="H14" s="23" t="n">
        <f aca="false">SUM(H10:H12)</f>
        <v>587</v>
      </c>
      <c r="I14" s="25" t="n">
        <f aca="false">SUM(I10:I13)</f>
        <v>21865</v>
      </c>
      <c r="J14" s="2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</sheetData>
  <mergeCells count="5">
    <mergeCell ref="A1:I2"/>
    <mergeCell ref="B3:C3"/>
    <mergeCell ref="B4:C4"/>
    <mergeCell ref="B5:C5"/>
    <mergeCell ref="F5:G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2026-03-14T16:37:45Z</dcterms:modified>
  <cp:revision>2</cp:revision>
  <dc:subject/>
  <dc:title/>
</cp:coreProperties>
</file>